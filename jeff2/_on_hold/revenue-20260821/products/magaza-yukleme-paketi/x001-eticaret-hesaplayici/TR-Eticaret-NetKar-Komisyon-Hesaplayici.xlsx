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riş" sheetId="1" state="visible" r:id="rId1"/>
    <sheet xmlns:r="http://schemas.openxmlformats.org/officeDocument/2006/relationships" name="Matris" sheetId="2" state="visible" r:id="rId2"/>
    <sheet xmlns:r="http://schemas.openxmlformats.org/officeDocument/2006/relationships" name="Hesaplama" sheetId="3" state="visible" r:id="rId3"/>
    <sheet xmlns:r="http://schemas.openxmlformats.org/officeDocument/2006/relationships" name="Rehb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₺0.00"/>
    <numFmt numFmtId="166" formatCode=""/>
  </numFmts>
  <fonts count="11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1F3864"/>
      <sz val="13"/>
    </font>
    <font>
      <b val="1"/>
    </font>
    <font>
      <b val="1"/>
      <color rgb="00FFFFFF"/>
      <sz val="11"/>
    </font>
    <font>
      <i val="1"/>
      <color rgb="00888888"/>
      <sz val="9"/>
    </font>
    <font>
      <b val="1"/>
      <sz val="12"/>
    </font>
    <font>
      <b val="1"/>
      <color rgb="00006100"/>
      <sz val="14"/>
    </font>
    <font>
      <b val="1"/>
      <sz val="14"/>
    </font>
    <font>
      <b val="1"/>
      <color rgb="001F3864"/>
      <sz val="15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EEBF7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3" borderId="0" applyAlignment="1" pivotButton="0" quotePrefix="0" xfId="0">
      <alignment vertical="center"/>
    </xf>
    <xf numFmtId="0" fontId="0" fillId="4" borderId="1" applyAlignment="1" pivotButton="0" quotePrefix="0" xfId="0">
      <alignment horizontal="center"/>
    </xf>
    <xf numFmtId="1" fontId="0" fillId="4" borderId="1" applyAlignment="1" pivotButton="0" quotePrefix="0" xfId="0">
      <alignment horizontal="center"/>
    </xf>
    <xf numFmtId="0" fontId="5" fillId="5" borderId="0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164" fontId="0" fillId="0" borderId="2" applyAlignment="1" pivotButton="0" quotePrefix="0" xfId="0">
      <alignment horizontal="center"/>
    </xf>
    <xf numFmtId="0" fontId="6" fillId="0" borderId="0" pivotButton="0" quotePrefix="0" xfId="0"/>
    <xf numFmtId="165" fontId="7" fillId="6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  <xf numFmtId="164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9" fontId="0" fillId="4" borderId="1" applyAlignment="1" pivotButton="0" quotePrefix="0" xfId="0">
      <alignment horizontal="center"/>
    </xf>
    <xf numFmtId="165" fontId="4" fillId="6" borderId="1" applyAlignment="1" pivotButton="0" quotePrefix="0" xfId="0">
      <alignment horizontal="center"/>
    </xf>
    <xf numFmtId="165" fontId="8" fillId="7" borderId="1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8" customWidth="1" min="4" max="4"/>
  </cols>
  <sheetData>
    <row r="1">
      <c r="A1" s="1" t="inlineStr">
        <is>
          <t>🛒 E-TİCARET NET KÂR &amp; KOMİSYON HESAPLAYICI</t>
        </is>
      </c>
    </row>
    <row r="2">
      <c r="A2" s="2" t="inlineStr">
        <is>
          <t>TR Pazaryerleri (Trendyol / Hepsiburada / Amazon TR) + Global Etsy</t>
        </is>
      </c>
    </row>
    <row r="4">
      <c r="A4" s="3" t="inlineStr">
        <is>
          <t>ÜRÜN BİLGİSİ</t>
        </is>
      </c>
    </row>
    <row r="5">
      <c r="A5" s="4" t="inlineStr">
        <is>
          <t>Ürün Adı</t>
        </is>
      </c>
      <c r="B5" s="5" t="inlineStr"/>
      <c r="C5" t="inlineStr"/>
    </row>
    <row r="6">
      <c r="A6" s="4" t="inlineStr">
        <is>
          <t>Satış Fiyatı (₺)</t>
        </is>
      </c>
      <c r="B6" s="5" t="n">
        <v>100</v>
      </c>
    </row>
    <row r="7">
      <c r="A7" s="4" t="inlineStr">
        <is>
          <t>Ürün Maliyeti (₺ / adet)</t>
        </is>
      </c>
      <c r="B7" s="5" t="n">
        <v>35</v>
      </c>
    </row>
    <row r="8">
      <c r="A8" s="4" t="inlineStr">
        <is>
          <t>Satış Adedi</t>
        </is>
      </c>
      <c r="B8" s="5" t="n">
        <v>1</v>
      </c>
    </row>
    <row r="10">
      <c r="A10" s="3" t="inlineStr">
        <is>
          <t>PAZARYERİ &amp; KATEGORİ</t>
        </is>
      </c>
    </row>
    <row r="11">
      <c r="A11" s="4" t="inlineStr">
        <is>
          <t>Pazaryeri</t>
        </is>
      </c>
      <c r="B11" s="5" t="inlineStr">
        <is>
          <t>Trendyol</t>
        </is>
      </c>
    </row>
    <row r="12">
      <c r="A12" s="4" t="inlineStr">
        <is>
          <t>Kategori</t>
        </is>
      </c>
      <c r="B12" s="5" t="inlineStr">
        <is>
          <t>Elektronik</t>
        </is>
      </c>
    </row>
    <row r="14">
      <c r="A14" s="3" t="inlineStr">
        <is>
          <t>MALİYET EKLERİ</t>
        </is>
      </c>
    </row>
    <row r="15">
      <c r="A15" s="4" t="inlineStr">
        <is>
          <t>Kargo Maliyeti (₺ / adet)</t>
        </is>
      </c>
      <c r="B15" s="5" t="n">
        <v>20</v>
      </c>
    </row>
    <row r="16">
      <c r="A16" s="4" t="inlineStr">
        <is>
          <t>Reklam Bütçesi (₺ / ay)</t>
        </is>
      </c>
      <c r="B16" s="5" t="n">
        <v>0</v>
      </c>
    </row>
    <row r="17">
      <c r="A17" s="4" t="inlineStr">
        <is>
          <t>Reklam ACoS (%)</t>
        </is>
      </c>
      <c r="B17" s="6" t="n">
        <v>30</v>
      </c>
    </row>
  </sheetData>
  <mergeCells count="2">
    <mergeCell ref="A1:C1"/>
    <mergeCell ref="A2:C2"/>
  </mergeCells>
  <dataValidations count="2">
    <dataValidation sqref="B11" showDropDown="0" showInputMessage="0" showErrorMessage="0" allowBlank="0" type="list">
      <formula1>"Trendyol,Hepsiburada,Amazon TR,Etsy"</formula1>
    </dataValidation>
    <dataValidation sqref="B12" showDropDown="0" showInputMessage="0" showErrorMessage="0" allowBlank="0" type="list">
      <formula1>=Matris!$A$3:$A$12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KOMİSYON ORAN MATRİSİ (kategori bazlı)</t>
        </is>
      </c>
    </row>
    <row r="2">
      <c r="A2" s="7" t="inlineStr">
        <is>
          <t>Kategori</t>
        </is>
      </c>
      <c r="B2" s="7" t="inlineStr">
        <is>
          <t>Trendyol</t>
        </is>
      </c>
      <c r="C2" s="7" t="inlineStr">
        <is>
          <t>Hepsiburada</t>
        </is>
      </c>
      <c r="D2" s="7" t="inlineStr">
        <is>
          <t>Amazon TR</t>
        </is>
      </c>
      <c r="E2" s="7" t="inlineStr">
        <is>
          <t>Etsy İşlem</t>
        </is>
      </c>
      <c r="F2" s="7" t="inlineStr">
        <is>
          <t>Etsy Ödeme</t>
        </is>
      </c>
    </row>
    <row r="3">
      <c r="A3" s="8" t="inlineStr">
        <is>
          <t>Elektronik</t>
        </is>
      </c>
      <c r="B3" s="9" t="n">
        <v>0.08</v>
      </c>
      <c r="C3" s="9" t="n">
        <v>0.05</v>
      </c>
      <c r="D3" s="9" t="n">
        <v>0.1</v>
      </c>
      <c r="E3" s="9" t="n">
        <v>0.065</v>
      </c>
      <c r="F3" s="9" t="n">
        <v>0.03</v>
      </c>
    </row>
    <row r="4">
      <c r="A4" s="8" t="inlineStr">
        <is>
          <t>Giyim</t>
        </is>
      </c>
      <c r="B4" s="9" t="n">
        <v>0.2136</v>
      </c>
      <c r="C4" s="9" t="n">
        <v>0.18</v>
      </c>
      <c r="D4" s="9" t="n">
        <v>0.15</v>
      </c>
      <c r="E4" s="9" t="n">
        <v>0.065</v>
      </c>
      <c r="F4" s="9" t="n">
        <v>0.03</v>
      </c>
    </row>
    <row r="5">
      <c r="A5" s="8" t="inlineStr">
        <is>
          <t>Ayakkabı</t>
        </is>
      </c>
      <c r="B5" s="9" t="n">
        <v>0.2</v>
      </c>
      <c r="C5" s="9" t="n">
        <v>0.18</v>
      </c>
      <c r="D5" s="9" t="n">
        <v>0.15</v>
      </c>
      <c r="E5" s="9" t="n">
        <v>0.065</v>
      </c>
      <c r="F5" s="9" t="n">
        <v>0.03</v>
      </c>
    </row>
    <row r="6">
      <c r="A6" s="8" t="inlineStr">
        <is>
          <t>Kozmetik</t>
        </is>
      </c>
      <c r="B6" s="9" t="n">
        <v>0.18</v>
      </c>
      <c r="C6" s="9" t="n">
        <v>0.17</v>
      </c>
      <c r="D6" s="9" t="n">
        <v>0.13</v>
      </c>
      <c r="E6" s="9" t="n">
        <v>0.065</v>
      </c>
      <c r="F6" s="9" t="n">
        <v>0.03</v>
      </c>
    </row>
    <row r="7">
      <c r="A7" s="8" t="inlineStr">
        <is>
          <t>Takı &amp; Mücevher</t>
        </is>
      </c>
      <c r="B7" s="9" t="n">
        <v>0.225</v>
      </c>
      <c r="C7" s="9" t="n">
        <v>0.2</v>
      </c>
      <c r="D7" s="9" t="n">
        <v>0.15</v>
      </c>
      <c r="E7" s="9" t="n">
        <v>0.065</v>
      </c>
      <c r="F7" s="9" t="n">
        <v>0.03</v>
      </c>
    </row>
    <row r="8">
      <c r="A8" s="8" t="inlineStr">
        <is>
          <t>Ev &amp; Yaşam</t>
        </is>
      </c>
      <c r="B8" s="9" t="n">
        <v>0.15</v>
      </c>
      <c r="C8" s="9" t="n">
        <v>0.12</v>
      </c>
      <c r="D8" s="9" t="n">
        <v>0.12</v>
      </c>
      <c r="E8" s="9" t="n">
        <v>0.065</v>
      </c>
      <c r="F8" s="9" t="n">
        <v>0.03</v>
      </c>
    </row>
    <row r="9">
      <c r="A9" s="8" t="inlineStr">
        <is>
          <t>Gıda</t>
        </is>
      </c>
      <c r="B9" s="9" t="n">
        <v>0.125</v>
      </c>
      <c r="C9" s="9" t="n">
        <v>0.1</v>
      </c>
      <c r="D9" s="9" t="n">
        <v>0.08</v>
      </c>
      <c r="E9" s="9" t="n">
        <v>0.065</v>
      </c>
      <c r="F9" s="9" t="n">
        <v>0.03</v>
      </c>
    </row>
    <row r="10">
      <c r="A10" s="8" t="inlineStr">
        <is>
          <t>Cep Telefonu</t>
        </is>
      </c>
      <c r="B10" s="9" t="n">
        <v>0.07000000000000001</v>
      </c>
      <c r="C10" s="9" t="n">
        <v>0.06</v>
      </c>
      <c r="D10" s="9" t="n">
        <v>0.08</v>
      </c>
      <c r="E10" s="9" t="n">
        <v>0.065</v>
      </c>
      <c r="F10" s="9" t="n">
        <v>0.03</v>
      </c>
    </row>
    <row r="11">
      <c r="A11" s="8" t="inlineStr">
        <is>
          <t>Kitap</t>
        </is>
      </c>
      <c r="B11" s="9" t="n">
        <v>0.15</v>
      </c>
      <c r="C11" s="9" t="n">
        <v>0.1</v>
      </c>
      <c r="D11" s="9" t="n">
        <v>0.12</v>
      </c>
      <c r="E11" s="9" t="n">
        <v>0.065</v>
      </c>
      <c r="F11" s="9" t="n">
        <v>0.03</v>
      </c>
    </row>
    <row r="12">
      <c r="A12" s="8" t="inlineStr">
        <is>
          <t>Oyuncak</t>
        </is>
      </c>
      <c r="B12" s="9" t="n">
        <v>0.15</v>
      </c>
      <c r="C12" s="9" t="n">
        <v>0.12</v>
      </c>
      <c r="D12" s="9" t="n">
        <v>0.13</v>
      </c>
      <c r="E12" s="9" t="n">
        <v>0.065</v>
      </c>
      <c r="F12" s="9" t="n">
        <v>0.03</v>
      </c>
    </row>
    <row r="14">
      <c r="A14" s="10" t="inlineStr">
        <is>
          <t>Not: Oranlar 2026 ortalama değerleridir. Pazaryeri güncel komisyon sayfasından doğrulayın.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6" customWidth="1" min="3" max="3"/>
  </cols>
  <sheetData>
    <row r="1">
      <c r="A1" s="1" t="inlineStr">
        <is>
          <t>NET KÂR HESAPLAMA MOTORU</t>
        </is>
      </c>
    </row>
    <row r="2">
      <c r="A2" s="4" t="inlineStr">
        <is>
          <t>Satış Fiyatı (₺)</t>
        </is>
      </c>
      <c r="B2" s="11">
        <f>Giriş!B6</f>
        <v/>
      </c>
    </row>
    <row r="3">
      <c r="A3" s="4" t="inlineStr">
        <is>
          <t>Ürün Maliyeti (₺/adet)</t>
        </is>
      </c>
      <c r="B3" s="12">
        <f>Giriş!B7</f>
        <v/>
      </c>
    </row>
    <row r="4">
      <c r="A4" s="4" t="inlineStr">
        <is>
          <t>Satış Adedi</t>
        </is>
      </c>
      <c r="B4" s="6">
        <f>Giriş!B8</f>
        <v/>
      </c>
    </row>
    <row r="5">
      <c r="A5" s="4" t="inlineStr">
        <is>
          <t>Pazaryeri</t>
        </is>
      </c>
      <c r="B5" s="13">
        <f>Giriş!B11</f>
        <v/>
      </c>
    </row>
    <row r="6">
      <c r="A6" s="4" t="inlineStr">
        <is>
          <t>Kategori</t>
        </is>
      </c>
      <c r="B6" s="13">
        <f>Giriş!B12</f>
        <v/>
      </c>
    </row>
    <row r="7">
      <c r="A7" s="4" t="inlineStr">
        <is>
          <t>Komisyon Oranı</t>
        </is>
      </c>
      <c r="B7" s="14">
        <f>IF(B5="Trendyol",VLOOKUP(B6,Matris!$A$3:$B$12,2,0),IF(B5="Hepsiburada",VLOOKUP(B6,Matris!$A$3:$C$12,3,0),IF(B5="Amazon TR",VLOOKUP(B6,Matris!$A$3:$D$12,4,0),VLOOKUP(B6,Matris!$A$3:$E$12,5,0))))</f>
        <v/>
      </c>
    </row>
    <row r="8">
      <c r="A8" s="4" t="inlineStr">
        <is>
          <t>Komisyon Tutarı (₺)</t>
        </is>
      </c>
      <c r="B8" s="15">
        <f>B2*B7</f>
        <v/>
      </c>
    </row>
    <row r="9">
      <c r="A9" s="4" t="inlineStr">
        <is>
          <t>Kargo Maliyeti (₺)</t>
        </is>
      </c>
      <c r="B9" s="12">
        <f>Giriş!B15</f>
        <v/>
      </c>
    </row>
    <row r="10">
      <c r="A10" s="4" t="inlineStr">
        <is>
          <t>Reklam Bütçesi (₺)</t>
        </is>
      </c>
      <c r="B10" s="12">
        <f>Giriş!B16</f>
        <v/>
      </c>
    </row>
    <row r="11">
      <c r="A11" s="4" t="inlineStr">
        <is>
          <t>Reklam ACoS (%)</t>
        </is>
      </c>
      <c r="B11" s="16">
        <f>Giriş!B17/100</f>
        <v/>
      </c>
    </row>
    <row r="12">
      <c r="A12" s="4" t="inlineStr">
        <is>
          <t>Reklam Maliyeti (₺)</t>
        </is>
      </c>
      <c r="B12" s="15">
        <f>B2*B11</f>
        <v/>
      </c>
    </row>
    <row r="13">
      <c r="A13" s="4" t="inlineStr">
        <is>
          <t>KDV (%18 TR)</t>
        </is>
      </c>
      <c r="B13" s="15">
        <f>B2*0.18*0.5</f>
        <v/>
      </c>
    </row>
    <row r="14">
      <c r="A14" s="4" t="inlineStr">
        <is>
          <t>Stopaj (varsa %1)</t>
        </is>
      </c>
      <c r="B14" s="15">
        <f>B2*0.01</f>
        <v/>
      </c>
    </row>
    <row r="15">
      <c r="A15" s="4" t="inlineStr">
        <is>
          <t>TOPLAM UNSUR (₺)</t>
        </is>
      </c>
      <c r="B15" s="17">
        <f>B8+B9+B12+B13+B14</f>
        <v/>
      </c>
    </row>
    <row r="16">
      <c r="A16" s="4" t="inlineStr">
        <is>
          <t>NET KÂR (₺ / ürün)</t>
        </is>
      </c>
      <c r="B16" s="18">
        <f>B2-B3-B15</f>
        <v/>
      </c>
    </row>
    <row r="17">
      <c r="A17" s="4" t="inlineStr">
        <is>
          <t>Toplam Kâr (₺)</t>
        </is>
      </c>
      <c r="B17" s="18">
        <f>B16*B4</f>
        <v/>
      </c>
    </row>
    <row r="18">
      <c r="A18" s="4" t="inlineStr">
        <is>
          <t>Brüt Kâr Marjı</t>
        </is>
      </c>
      <c r="B18" s="14">
        <f>IF(B2=0,0,B16/B2)</f>
        <v/>
      </c>
    </row>
    <row r="21">
      <c r="A21" s="3" t="inlineStr">
        <is>
          <t>DURUM</t>
        </is>
      </c>
    </row>
    <row r="22">
      <c r="A22" s="19">
        <f>IF(B16&gt;0,"✅ KÂRLI",IF(B16=0,"⚖️ BAŞABAŞ","❌ ZARARDA"))</f>
        <v/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B11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B1" s="20" t="inlineStr">
        <is>
          <t>📘 KULLANIM REHBERİ</t>
        </is>
      </c>
    </row>
    <row r="3">
      <c r="B3" t="inlineStr">
        <is>
          <t>1. 'Giriş' sekmesinde ürün bilgilerini doldurun: ad, satış fiyatı, maliyet, adet.</t>
        </is>
      </c>
    </row>
    <row r="4">
      <c r="B4" t="inlineStr">
        <is>
          <t>2. Pazaryeri ve kategoriyi açılır menüden seçin (oranlar 'Matris' sekmesinden otomatik çekilir).</t>
        </is>
      </c>
    </row>
    <row r="5">
      <c r="B5" t="inlineStr">
        <is>
          <t>3. Kargo maliyeti, reklam bütçesi ve ACoS'unuzu girin.</t>
        </is>
      </c>
    </row>
    <row r="6">
      <c r="B6" t="inlineStr">
        <is>
          <t>4. 'Hesaplama' sekmesi tüm ücretleri (komisyon, kargo, reklam, KDV, stopaj) otomatik toplar ve NET KÂR'ı gösterir.</t>
        </is>
      </c>
    </row>
    <row r="7">
      <c r="B7" t="inlineStr">
        <is>
          <t>5. Yeşil 'KÂRLI' / kırmızı 'ZARARDA' sinyali ile fiyat kararınızı anında görün.</t>
        </is>
      </c>
    </row>
    <row r="8">
      <c r="B8" t="inlineStr"/>
    </row>
    <row r="9">
      <c r="B9" t="inlineStr">
        <is>
          <t>⚠️ Oranlar 2026 güncel ortalama değerlerdir. Pazaryeri komisyonu değişirse 'Matris' sekmesini güncelleyin.</t>
        </is>
      </c>
    </row>
    <row r="10">
      <c r="B10" t="inlineStr">
        <is>
          <t>💡 'Fiyatlandırma Asistanı' olarak kullanın: maliyeti girin, kârlı kalacak minimum satış fiyatını bulun.</t>
        </is>
      </c>
    </row>
    <row r="11">
      <c r="B11" t="inlineStr">
        <is>
          <t>📧 Satın alım sonrası destek &amp; güncelleme: info@ergeneai.com</t>
        </is>
      </c>
    </row>
  </sheetData>
  <mergeCells count="1">
    <mergeCell ref="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2026-08-20T07:10:40Z</dcterms:created>
  <dcterms:modified xmlns:dcterms="http://purl.org/dc/terms/" xmlns:xsi="http://www.w3.org/2001/XMLSchema-instance" xsi:type="dcterms:W3CDTF">2026-08-20T07:10:40Z</dcterms:modified>
</cp:coreProperties>
</file>